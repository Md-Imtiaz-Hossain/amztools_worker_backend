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dimtiazhossain/Downloads/"/>
    </mc:Choice>
  </mc:AlternateContent>
  <xr:revisionPtr revIDLastSave="0" documentId="8_{45A0C88C-28FE-3C47-BDDB-C5CA750AD803}" xr6:coauthVersionLast="47" xr6:coauthVersionMax="47" xr10:uidLastSave="{00000000-0000-0000-0000-000000000000}"/>
  <bookViews>
    <workbookView xWindow="0" yWindow="680" windowWidth="25600" windowHeight="14320" xr2:uid="{00000000-000D-0000-FFFF-FFFF00000000}"/>
  </bookViews>
  <sheets>
    <sheet name="Catalog Analysis" sheetId="1" r:id="rId1"/>
  </sheets>
  <definedNames>
    <definedName name="_xlnm._FilterDatabase" localSheetId="0" hidden="1">'Catalog Analysis'!$A$1:$BJ$11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1" i="1" l="1"/>
  <c r="AW11" i="1"/>
  <c r="K11" i="1"/>
  <c r="H11" i="1"/>
  <c r="AX10" i="1"/>
  <c r="AW10" i="1"/>
  <c r="K10" i="1"/>
  <c r="H10" i="1"/>
  <c r="AX9" i="1"/>
  <c r="AW9" i="1"/>
  <c r="K9" i="1"/>
  <c r="H9" i="1"/>
  <c r="AX8" i="1"/>
  <c r="AW8" i="1"/>
  <c r="K8" i="1"/>
  <c r="H8" i="1"/>
  <c r="AX7" i="1"/>
  <c r="AW7" i="1"/>
  <c r="K7" i="1"/>
  <c r="H7" i="1"/>
  <c r="AX6" i="1"/>
  <c r="AW6" i="1"/>
  <c r="K6" i="1"/>
  <c r="AX5" i="1"/>
  <c r="AW5" i="1"/>
  <c r="K5" i="1"/>
  <c r="H5" i="1"/>
  <c r="AX4" i="1"/>
  <c r="AW4" i="1"/>
  <c r="K4" i="1"/>
  <c r="H4" i="1"/>
  <c r="AX3" i="1"/>
  <c r="AW3" i="1"/>
  <c r="K3" i="1"/>
  <c r="AX2" i="1"/>
  <c r="AW2" i="1"/>
  <c r="K2" i="1"/>
  <c r="H2" i="1"/>
</calcChain>
</file>

<file path=xl/sharedStrings.xml><?xml version="1.0" encoding="utf-8"?>
<sst xmlns="http://schemas.openxmlformats.org/spreadsheetml/2006/main" count="294" uniqueCount="206">
  <si>
    <t>ASIN</t>
  </si>
  <si>
    <t>Parent ASIN</t>
  </si>
  <si>
    <t>Favorite</t>
  </si>
  <si>
    <t>Product ID</t>
  </si>
  <si>
    <t>Brand</t>
  </si>
  <si>
    <t>Brand Restriction</t>
  </si>
  <si>
    <t>Selling Restriction</t>
  </si>
  <si>
    <t>Selling Restriction Link</t>
  </si>
  <si>
    <t>Title</t>
  </si>
  <si>
    <t>Package Quantity</t>
  </si>
  <si>
    <t>Amazon Link</t>
  </si>
  <si>
    <t>Current Est Sales</t>
  </si>
  <si>
    <t>Estimated Monthly Revenue ($)</t>
  </si>
  <si>
    <t>Profit ($)</t>
  </si>
  <si>
    <t>Margin (%)</t>
  </si>
  <si>
    <t>ROI (%)</t>
  </si>
  <si>
    <t>Is Top Level Category</t>
  </si>
  <si>
    <t>Category</t>
  </si>
  <si>
    <t>Sales Rank</t>
  </si>
  <si>
    <t>Sub Category</t>
  </si>
  <si>
    <t>Sub Category Sales Rank</t>
  </si>
  <si>
    <t>Cost</t>
  </si>
  <si>
    <t>Break Even Sell Price</t>
  </si>
  <si>
    <t>Sell Price</t>
  </si>
  <si>
    <t>Buybox Landed</t>
  </si>
  <si>
    <t>Lowest FBA</t>
  </si>
  <si>
    <t>Lowest FBM</t>
  </si>
  <si>
    <t>Referral Fee %</t>
  </si>
  <si>
    <t>Referral Fee</t>
  </si>
  <si>
    <t>FBA Pick &amp; Pack Fee ($)</t>
  </si>
  <si>
    <t>Inbound Placement Fee</t>
  </si>
  <si>
    <t>Fulfillment Subtotal</t>
  </si>
  <si>
    <t>Cost Subtotal</t>
  </si>
  <si>
    <t>Seller Proceeds</t>
  </si>
  <si>
    <t>VAT %</t>
  </si>
  <si>
    <t>VAT $</t>
  </si>
  <si>
    <t>Inbound Shipping Estimate</t>
  </si>
  <si>
    <t>Package Dimensions (in)</t>
  </si>
  <si>
    <t>Package Weight (lb)</t>
  </si>
  <si>
    <t>Total Offers</t>
  </si>
  <si>
    <t>New FBA Offers</t>
  </si>
  <si>
    <t>New FBM Offers</t>
  </si>
  <si>
    <t>BuyBox Contention</t>
  </si>
  <si>
    <t>Manufacturer</t>
  </si>
  <si>
    <t>Color</t>
  </si>
  <si>
    <t>Model</t>
  </si>
  <si>
    <t>Part Number</t>
  </si>
  <si>
    <t>Is Hazmat</t>
  </si>
  <si>
    <t>Keepa</t>
  </si>
  <si>
    <t>CamelCC</t>
  </si>
  <si>
    <t>Custom Notes</t>
  </si>
  <si>
    <t>Last Run</t>
  </si>
  <si>
    <t>Product Image link 1</t>
  </si>
  <si>
    <t>Product Image link 2</t>
  </si>
  <si>
    <t>Product Image link 3</t>
  </si>
  <si>
    <t>Product Image link 4</t>
  </si>
  <si>
    <t>Product Image link 5</t>
  </si>
  <si>
    <t>Average Rating</t>
  </si>
  <si>
    <t>Total Review Count</t>
  </si>
  <si>
    <t>Customer Reviews</t>
  </si>
  <si>
    <t>About this item</t>
  </si>
  <si>
    <t>Wholesaller Company Name</t>
  </si>
  <si>
    <t>B0BDHWDR12</t>
  </si>
  <si>
    <t>False</t>
  </si>
  <si>
    <t>019425205698</t>
  </si>
  <si>
    <t>Apple</t>
  </si>
  <si>
    <t>True</t>
  </si>
  <si>
    <t>approval required</t>
  </si>
  <si>
    <t>Apple AirPods Pro (2nd Generation) Wireless Earbuds with MagSafe Case</t>
  </si>
  <si>
    <t>Electronics</t>
  </si>
  <si>
    <t>1.78 x 2.39 x 0.85</t>
  </si>
  <si>
    <t>White</t>
  </si>
  <si>
    <t>MTJV3AM/A</t>
  </si>
  <si>
    <t>MQD83AM/A</t>
  </si>
  <si>
    <t>https://m.media-amazon.com/images/I/61SUj2aKoEL.jpg</t>
  </si>
  <si>
    <t>https://m.media-amazon.com/images/I/61sRKTA7o-L.jpg</t>
  </si>
  <si>
    <t>https://m.media-amazon.com/images/I/51b9LU1nSGL.jpg</t>
  </si>
  <si>
    <t>https://m.media-amazon.com/images/I/61NbxT-L8gL.jpg</t>
  </si>
  <si>
    <t>https://m.media-amazon.com/images/I/61eDX9kHk1L.jpg</t>
  </si>
  <si>
    <t>4.7 out of 5 stars (Reviews: 12,480)</t>
  </si>
  <si>
    <t>• UP TO 2X MORE ACTIVE NOISE CANCELLATION: Advanced algorithms cancel unwanted noise. | • PERSONALIZED SPATIAL AUDIO: Sound tailored to your unique ear shape for immersive listening. | • TOUCH CONTROL: Adjust volume with a swipe, answer calls, and switch listening modes. | • EXTENDED BATTERY LIFE: Up to 6 hours listening time with ANC enabled, 30 hours with case. | • MAGSAFE CHARGING CASE: Features built-in speaker, lanyard loop, and precision finding.</t>
  </si>
  <si>
    <t>ABC LLC</t>
  </si>
  <si>
    <t>B09N3ZNHTY</t>
  </si>
  <si>
    <t>088727638786</t>
  </si>
  <si>
    <t>Samsung</t>
  </si>
  <si>
    <t>not eligible</t>
  </si>
  <si>
    <t>Samsung Galaxy Tab A8 10.5" 32GB Android Tablet, Dark Gray</t>
  </si>
  <si>
    <t>Computers &amp; Accessories</t>
  </si>
  <si>
    <t>9.72 x 6.37 x 0.27</t>
  </si>
  <si>
    <t>Dark Gray</t>
  </si>
  <si>
    <t>SM-X200NZAAXAR</t>
  </si>
  <si>
    <t>https://m.media-amazon.com/images/I/61vGykNn-kL.jpg</t>
  </si>
  <si>
    <t>https://m.media-amazon.com/images/I/61gR7m7m4TL.jpg</t>
  </si>
  <si>
    <t>https://m.media-amazon.com/images/I/61b1bYq8VBL.jpg</t>
  </si>
  <si>
    <t>https://m.media-amazon.com/images/I/71u9j6W+vYL.jpg</t>
  </si>
  <si>
    <t>https://m.media-amazon.com/images/I/61qH5q3l78L.jpg</t>
  </si>
  <si>
    <t>4.5 out of 5 stars (Reviews: 8,350)</t>
  </si>
  <si>
    <t>• A SCREEN EVERYONE WILL LOVE: 10.5-inch LCD screen delivers brilliant clarity. | • POWER AND STORAGE FOR ALL: Fast Unisoc Tiger T618 processor with 32GB expandable storage. | • LONG-LASTING BATTERY: 7,040 mAh battery keeps you going with fast charging support. | • QUAD SPEAKERS: Dolby Atmos surround sound creates a theater-like acoustic experience. | • SAMSUNG KIDS ECOSYSTEM: Safe library of educational games, books, and videos.</t>
  </si>
  <si>
    <t>B09HM94VDS</t>
  </si>
  <si>
    <t>073185502444</t>
  </si>
  <si>
    <t>Logitech</t>
  </si>
  <si>
    <t>Logitech MX Master 3S Wireless Performance Mouse, Quiet Clicks, 8K DPI</t>
  </si>
  <si>
    <t>4.92 x 3.31 x 2.01</t>
  </si>
  <si>
    <t>Graphite</t>
  </si>
  <si>
    <t>910-006556</t>
  </si>
  <si>
    <t>https://m.media-amazon.com/images/I/61ni3t1ryQL.jpg</t>
  </si>
  <si>
    <t>https://m.media-amazon.com/images/I/61O7VfW-KdL.jpg</t>
  </si>
  <si>
    <t>https://m.media-amazon.com/images/I/61pB5jWJ3tL.jpg</t>
  </si>
  <si>
    <t>https://m.media-amazon.com/images/I/61Z2Z2u-UUL.jpg</t>
  </si>
  <si>
    <t>https://m.media-amazon.com/images/I/61t-X3f6sBL.jpg</t>
  </si>
  <si>
    <t>4.7 out of 5 stars (Reviews: 6,120)</t>
  </si>
  <si>
    <t>• 8K ANY-SURFACE TRACKING: Next-gen 8,000 DPI optical sensor tracks even on glass. | • QUIET CLICKS: 90% less click noise while maintaining satisfying tactile feedback. | • MAGSPEED SCROLLING: Scroll 1,000 lines in a second with electromagnetic precision. | • ERGONOMIC COMFORT: Sculpted silhouette crafted for all-day palm and wrist support. | • MULTI-DEVICE FLOW: Seamlessly work across up to 3 computers with Logitech Options+.</t>
  </si>
  <si>
    <t>B09VPHVT2Z</t>
  </si>
  <si>
    <t>084008058862</t>
  </si>
  <si>
    <t>Anker</t>
  </si>
  <si>
    <t>Anker 737 Power Bank (PowerCore 24K), 24,000mAh 3-Port Portable Charger 140W</t>
  </si>
  <si>
    <t>Cell Phones &amp; Accessories</t>
  </si>
  <si>
    <t>6.13 x 2.15 x 1.95</t>
  </si>
  <si>
    <t>Black</t>
  </si>
  <si>
    <t>A1289</t>
  </si>
  <si>
    <t>A1289011</t>
  </si>
  <si>
    <t>https://m.media-amazon.com/images/I/61D8o3qR2DL.jpg</t>
  </si>
  <si>
    <t>https://m.media-amazon.com/images/I/61L-P3VwSCL.jpg</t>
  </si>
  <si>
    <t>https://m.media-amazon.com/images/I/61gV4H5b-aL.jpg</t>
  </si>
  <si>
    <t>https://m.media-amazon.com/images/I/71V2c3p8LWL.jpg</t>
  </si>
  <si>
    <t>https://m.media-amazon.com/images/I/61k9j1H7MML.jpg</t>
  </si>
  <si>
    <t>4.6 out of 5 stars (Reviews: 3,410)</t>
  </si>
  <si>
    <t>• ULTRA-POWERFUL TWO-WAY CHARGING: Delivers up to 140W fast charge and recharges at 140W. | • SMART DIGITAL DISPLAY: Easy-to-read screen shows output and input power, plus recharge time. | • HUGE 24,000MAH CAPACITY: Juice up an iPhone 13 almost 5 times or a 2021 MacBook Pro. | • POWER DELIVERY 3.1: Equipped with the latest PD 3.1 bidirectional fast charging technology. | • ACTIVE SHIELD 2.0: Monitors temperature over 3 million times per day for ultimate safety.</t>
  </si>
  <si>
    <t>B00BH4KLJI</t>
  </si>
  <si>
    <t>B0DHY97X8S</t>
  </si>
  <si>
    <t>747930013549</t>
  </si>
  <si>
    <t>La Mer</t>
  </si>
  <si>
    <t>La Mer Moisturizing Cream 3.4 Ounce</t>
  </si>
  <si>
    <t>Beauty &amp; Personal Care</t>
  </si>
  <si>
    <t>4.17 x 3.9 x 3.7</t>
  </si>
  <si>
    <t>Cranberry</t>
  </si>
  <si>
    <t>U-SC-3229</t>
  </si>
  <si>
    <t>https://m.media-amazon.com/images/I/51+u7D7G1rL.jpg</t>
  </si>
  <si>
    <t>https://m.media-amazon.com/images/I/61y+J2y7LpL.jpg</t>
  </si>
  <si>
    <t>https://m.media-amazon.com/images/I/51x9Z6g8WPL.jpg</t>
  </si>
  <si>
    <t>https://m.media-amazon.com/images/I/61t9o1p6yRL.jpg</t>
  </si>
  <si>
    <t>https://m.media-amazon.com/images/I/51w9e7r6tQL.jpg</t>
  </si>
  <si>
    <t>4.6 out of 5 stars (Reviews: 890)</t>
  </si>
  <si>
    <t>• ICONIC CRÈME DE LA MER: Ultra-rich moisturizing cream that delivers deep soothing moisture. | • CELL-RENEWING MIRACLE BROTH: Fermented giant sea kelp infuses skin with vital energy. | • RESTORES RADIANCE: Helps eliminate dryness, redness, and irritation for a supple glow. | • FIRMS &amp; SMOOTHS: Clinically proven to minimize the appearance of fine lines and pores. | • WARM TO ACTIVATE: Warm between fingers until translucent, then press gently into skin.</t>
  </si>
  <si>
    <t>B07SL2NXGT</t>
  </si>
  <si>
    <t>B0892B1MZX</t>
  </si>
  <si>
    <t>8809625241285</t>
  </si>
  <si>
    <t>rom&amp;nd</t>
  </si>
  <si>
    <t>rom&amp;nd Better Than Eyes 4-Color Eyeshadow Palette #01 Dry Mango Tulip</t>
  </si>
  <si>
    <t>2.72 x 2.56 x 0.67</t>
  </si>
  <si>
    <t>#01 Dry Mango Tulip</t>
  </si>
  <si>
    <t>RMD-BTE-01</t>
  </si>
  <si>
    <t>https://m.media-amazon.com/images/I/61k9j2h8gFL.jpg</t>
  </si>
  <si>
    <t>https://m.media-amazon.com/images/I/61o9i8u7yTL.jpg</t>
  </si>
  <si>
    <t>https://m.media-amazon.com/images/I/71p9o8i7uSL.jpg</t>
  </si>
  <si>
    <t>https://m.media-amazon.com/images/I/61u9y8t7rOL.jpg</t>
  </si>
  <si>
    <t>https://m.media-amazon.com/images/I/61t8y7u6wPL.jpg</t>
  </si>
  <si>
    <t>4.5 out of 5 stars (Reviews: 1,150)</t>
  </si>
  <si>
    <t>• 4-PAN COLOR HARMONY: Carefully calibrated shades designed for seamless blending. | • ULTRA-FINE PARTICLES: Silky powder blurs fine lines and glides evenly onto eyelids. | • OPAL GLITTER: Translucent glitter pigment adds a romantic shimmering highlight. | • LONG-WEARING FORMULA: Sebum-control powder prevents creasing throughout the day. | • COMPACT POCKET SIZE: Convenient travel-friendly palette for quick on-the-go touch-ups.</t>
  </si>
  <si>
    <t>B009QZ5YME</t>
  </si>
  <si>
    <t>3605521489654</t>
  </si>
  <si>
    <t>Helena Rubinstein</t>
  </si>
  <si>
    <t>Helena Rubinstein Prodigy Re-Plasty Age Recovery Skin Regeneration Accelerating Night Care 50ml/1.75oz</t>
  </si>
  <si>
    <t>3.86 x 3.78 x 3.7</t>
  </si>
  <si>
    <t>Red</t>
  </si>
  <si>
    <t>RBN00092</t>
  </si>
  <si>
    <t>https://m.media-amazon.com/images/I/61Q6U+e7NRL.jpg</t>
  </si>
  <si>
    <t>https://m.media-amazon.com/images/I/51p1Zk-OqEL.jpg</t>
  </si>
  <si>
    <t>https://m.media-amazon.com/images/I/61k1j2l9YpL.jpg</t>
  </si>
  <si>
    <t>https://m.media-amazon.com/images/I/71u9y6f7aPL.jpg</t>
  </si>
  <si>
    <t>https://m.media-amazon.com/images/I/61w6x7e8zCL.jpg</t>
  </si>
  <si>
    <t>4.5 out of 5 stars (Reviews: 68)</t>
  </si>
  <si>
    <t>• POST-PROCEDURE HEALING: Inspired by cosmetic surgery clinic post-intervention care. | • PRO-XYLANE 30%: Highly concentrated active ingredient promotes deep epidermic renewal. | • BANDAGE TEXTURE: Transforms on contact to create an invisible protective film over skin. | • VISIBLE SIGNS OF AGING: Accelerates recovery of wrinkles, skin roughness, and sagging. | • LUXURY OVERNIGHT CARE: Awakens the complexion with firm, replenished elasticity.</t>
  </si>
  <si>
    <t>B098RKWHHZ</t>
  </si>
  <si>
    <t>004549659042</t>
  </si>
  <si>
    <t>Nintendo</t>
  </si>
  <si>
    <t>Nintendo Switch – OLED Model w/ White Joy-Con</t>
  </si>
  <si>
    <t>Video Games</t>
  </si>
  <si>
    <t>10.24 x 7.87 x 3.94</t>
  </si>
  <si>
    <t>HEGSKAAAA</t>
  </si>
  <si>
    <t>https://m.media-amazon.com/images/I/61-PblYntsL.jpg</t>
  </si>
  <si>
    <t>https://m.media-amazon.com/images/I/71R2c3p8LWL.jpg</t>
  </si>
  <si>
    <t>https://m.media-amazon.com/images/I/61j1l9u8aPL.jpg</t>
  </si>
  <si>
    <t>https://m.media-amazon.com/images/I/71o9u8y7tPL.jpg</t>
  </si>
  <si>
    <t>4.8 out of 5 stars (Reviews: 24,190)</t>
  </si>
  <si>
    <t>• 7-INCH OLED SCREEN: Vivid colors and crisp contrast bring gaming worlds to life. | • WIDE ADJUSTABLE STAND: Angle the system's wide stand for comfortable viewing in Tabletop mode. | • WIRED LAN PORT: Use the dock's LAN port when playing in TV mode for stable online play. | • 64 GB INTERNAL STORAGE: Save games to your system with 64 GB of internal storage. | • ENHANCED AUDIO: Enjoy clear audio from the system's onboard speakers in Handheld mode.</t>
  </si>
  <si>
    <t>B0863TXGM3</t>
  </si>
  <si>
    <t>002724291515</t>
  </si>
  <si>
    <t>Sony</t>
  </si>
  <si>
    <t>Sony WH-1000XM4 Wireless Premium Noise Canceling Overhead Headphones, Black</t>
  </si>
  <si>
    <t>7.27 x 3.03 x 9.94</t>
  </si>
  <si>
    <t>WH1000XM4/B</t>
  </si>
  <si>
    <t>https://m.media-amazon.com/images/I/71o8Q5XJS5L.jpg</t>
  </si>
  <si>
    <t>https://m.media-amazon.com/images/I/71k1j2l9YpL.jpg</t>
  </si>
  <si>
    <t>4.7 out of 5 stars (Reviews: 48,200)</t>
  </si>
  <si>
    <t>• INDUSTRY LEADING NOISE CANCELING: Dual Noise Sensor technology delivers premium isolation. | • NEXT-LEVEL MUSIC: Edge-AI co-developed with Sony Music Studios Tokyo for premium audio. | • UP TO 30-HOUR BATTERY: Fast charging (10 min charge for 5 hours playback). | • TOUCH SENSOR CONTROLS: Pause, play, skip tracks, control volume, activate voice assistant. | • SPEAK-TO-CHAT TECHNOLOGY: Automatically reduces volume during conversations.</t>
  </si>
  <si>
    <t>B07XJ8C8F5</t>
  </si>
  <si>
    <t>081001430030</t>
  </si>
  <si>
    <t>Amazon</t>
  </si>
  <si>
    <t>Echo Dot (4th Gen) | Smart speaker with Alexa | Charcoal</t>
  </si>
  <si>
    <t>3.9 x 3.9 x 3.5</t>
  </si>
  <si>
    <t>Charcoal</t>
  </si>
  <si>
    <t>B7W644</t>
  </si>
  <si>
    <t>https://m.media-amazon.com/images/I/714Rq4k05UL.jpg</t>
  </si>
  <si>
    <t>4.7 out of 5 stars (Reviews: 95,400)</t>
  </si>
  <si>
    <t>• MEET ECHO DOT: Our most popular smart speaker with Alexa. The sleek, compact design fits anywhere. | • CRISP VOCALS &amp; BALANCED BASS: Delivers clear vocals and balanced bass for full sound you can enjoy anywhere. | • VOICE CONTROL YOUR ENTERTAINMENT: Stream songs from Amazon Music, Apple Music, Spotify, and more. | • READY TO HELP: Ask Alexa to tell a joke, play music, answer questions, and check the weather. | • CONTROL YOUR SMART HOME: Use your voice to turn on lights, adjust thermostats, and lock doors.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</si>
</sst>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0.000"/>
    <numFmt numFmtId="168" formatCode="mm/dd/yyyy\ hh:mm"/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0.5"/>
      <color rgb="FFFFFFFF"/>
      <name val="Calibri"/>
      <family val="2"/>
    </font>
    <font>
      <sz val="10"/>
      <color rgb="FF1E293B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medium">
        <color rgb="FF17365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166" fontId="2" fillId="3" borderId="2" xfId="0" applyNumberFormat="1" applyFont="1" applyFill="1" applyBorder="1" applyAlignment="1">
      <alignment horizontal="right" vertical="center"/>
    </xf>
    <xf numFmtId="168" fontId="2" fillId="3" borderId="2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right" vertical="center"/>
    </xf>
    <xf numFmtId="0" fontId="3" fillId="0" borderId="2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61SUj2aKoE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"/>
  <sheetViews>
    <sheetView tabSelected="1" workbookViewId="0">
      <pane ySplit="1" topLeftCell="A2" activePane="bottomLeft" state="frozen"/>
      <selection pane="bottomLeft" activeCell="BA2" sqref="BA2"/>
    </sheetView>
  </sheetViews>
  <sheetFormatPr baseColWidth="10" defaultColWidth="8.83203125" defaultRowHeight="15" x14ac:dyDescent="0.2"/>
  <cols>
    <col min="1" max="2" width="11.5" customWidth="1"/>
    <col min="3" max="3" width="9" customWidth="1"/>
    <col min="4" max="4" width="13" customWidth="1"/>
    <col min="5" max="5" width="14" customWidth="1"/>
    <col min="6" max="6" width="12" customWidth="1"/>
    <col min="7" max="7" width="14" customWidth="1"/>
    <col min="8" max="8" width="15" customWidth="1"/>
    <col min="9" max="9" width="25" customWidth="1"/>
    <col min="10" max="10" width="11" customWidth="1"/>
    <col min="11" max="11" width="13" customWidth="1"/>
    <col min="12" max="12" width="12" customWidth="1"/>
    <col min="13" max="13" width="16" customWidth="1"/>
    <col min="14" max="14" width="11.5" customWidth="1"/>
    <col min="15" max="16" width="11" customWidth="1"/>
    <col min="17" max="17" width="13" customWidth="1"/>
    <col min="18" max="18" width="16" customWidth="1"/>
    <col min="19" max="19" width="11" customWidth="1"/>
    <col min="20" max="20" width="20" customWidth="1"/>
    <col min="21" max="21" width="15" customWidth="1"/>
    <col min="22" max="22" width="11" customWidth="1"/>
    <col min="23" max="23" width="13" customWidth="1"/>
    <col min="24" max="24" width="11" customWidth="1"/>
    <col min="25" max="25" width="12" customWidth="1"/>
    <col min="26" max="27" width="11" customWidth="1"/>
    <col min="28" max="29" width="12" customWidth="1"/>
    <col min="30" max="32" width="14" customWidth="1"/>
    <col min="33" max="34" width="13" customWidth="1"/>
    <col min="35" max="35" width="10" customWidth="1"/>
    <col min="36" max="36" width="10.5" customWidth="1"/>
    <col min="37" max="38" width="15" customWidth="1"/>
    <col min="39" max="39" width="12" customWidth="1"/>
    <col min="40" max="42" width="10.5" customWidth="1"/>
    <col min="43" max="43" width="12" customWidth="1"/>
    <col min="44" max="44" width="14" customWidth="1"/>
    <col min="45" max="45" width="11" customWidth="1"/>
    <col min="46" max="47" width="12" customWidth="1"/>
    <col min="48" max="48" width="10.5" customWidth="1"/>
    <col min="49" max="50" width="10" customWidth="1"/>
    <col min="51" max="52" width="15" customWidth="1"/>
    <col min="53" max="57" width="14" customWidth="1"/>
    <col min="58" max="58" width="11" customWidth="1"/>
    <col min="59" max="59" width="12" customWidth="1"/>
    <col min="60" max="60" width="20" customWidth="1"/>
    <col min="61" max="61" width="24" customWidth="1"/>
    <col min="62" max="62" width="18" customWidth="1"/>
  </cols>
  <sheetData>
    <row r="1" spans="1:62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20" customHeight="1" x14ac:dyDescent="0.2">
      <c r="A2" s="2" t="s">
        <v>62</v>
      </c>
      <c r="B2" s="2"/>
      <c r="C2" s="2" t="s">
        <v>63</v>
      </c>
      <c r="D2" s="2" t="s">
        <v>64</v>
      </c>
      <c r="E2" s="3" t="s">
        <v>65</v>
      </c>
      <c r="F2" s="2" t="s">
        <v>66</v>
      </c>
      <c r="G2" s="2" t="s">
        <v>67</v>
      </c>
      <c r="H2" s="3" t="str">
        <f>HYPERLINK("https://sellercentral.amazon.com/hz/approvalrequest/restrictions/approve?asin=B0BDHWDR12", "https://sellercentral.amazon.com/hz/approvalrequest/restrictions/approve?asin=B0BDHWDR12")</f>
        <v>https://sellercentral.amazon.com/hz/approvalrequest/restrictions/approve?asin=B0BDHWDR12</v>
      </c>
      <c r="I2" s="3" t="s">
        <v>68</v>
      </c>
      <c r="J2" s="4">
        <v>1</v>
      </c>
      <c r="K2" s="3" t="str">
        <f>HYPERLINK("https://www.amazon.com/dp/B0BDHWDR12", "https://www.amazon.com/dp/B0BDHWDR12")</f>
        <v>https://www.amazon.com/dp/B0BDHWDR12</v>
      </c>
      <c r="L2" s="4">
        <v>18500</v>
      </c>
      <c r="M2" s="5">
        <v>4606500</v>
      </c>
      <c r="N2" s="5">
        <v>64.97</v>
      </c>
      <c r="O2" s="6">
        <v>0.26100000000000001</v>
      </c>
      <c r="P2" s="6">
        <v>0.40600000000000003</v>
      </c>
      <c r="Q2" s="2" t="s">
        <v>66</v>
      </c>
      <c r="R2" s="3" t="s">
        <v>69</v>
      </c>
      <c r="S2" s="4">
        <v>45</v>
      </c>
      <c r="T2" s="3"/>
      <c r="U2" s="7"/>
      <c r="V2" s="5">
        <v>160</v>
      </c>
      <c r="W2" s="5">
        <v>178.67</v>
      </c>
      <c r="X2" s="5">
        <v>249</v>
      </c>
      <c r="Y2" s="5">
        <v>249</v>
      </c>
      <c r="Z2" s="5">
        <v>249</v>
      </c>
      <c r="AA2" s="5">
        <v>254.99</v>
      </c>
      <c r="AB2" s="8">
        <v>0.08</v>
      </c>
      <c r="AC2" s="5">
        <v>19.920000000000002</v>
      </c>
      <c r="AD2" s="5">
        <v>4.1100000000000003</v>
      </c>
      <c r="AE2" s="5">
        <v>0</v>
      </c>
      <c r="AF2" s="5">
        <v>4.1100000000000003</v>
      </c>
      <c r="AG2" s="5">
        <v>24.03</v>
      </c>
      <c r="AH2" s="5">
        <v>224.97</v>
      </c>
      <c r="AI2" s="8">
        <v>0</v>
      </c>
      <c r="AJ2" s="5">
        <v>0</v>
      </c>
      <c r="AK2" s="5">
        <v>0</v>
      </c>
      <c r="AL2" s="2" t="s">
        <v>70</v>
      </c>
      <c r="AM2" s="9">
        <v>0.35</v>
      </c>
      <c r="AN2" s="4">
        <v>18</v>
      </c>
      <c r="AO2" s="4">
        <v>12</v>
      </c>
      <c r="AP2" s="4">
        <v>6</v>
      </c>
      <c r="AQ2" s="4">
        <v>4</v>
      </c>
      <c r="AR2" s="3" t="s">
        <v>65</v>
      </c>
      <c r="AS2" s="2" t="s">
        <v>71</v>
      </c>
      <c r="AT2" s="2" t="s">
        <v>72</v>
      </c>
      <c r="AU2" s="2" t="s">
        <v>73</v>
      </c>
      <c r="AV2" s="2" t="s">
        <v>63</v>
      </c>
      <c r="AW2" s="2" t="str">
        <f>HYPERLINK("https://keepa.com/#!product/1-B0BDHWDR12", "https://keepa.com/#!product/1-B0BDHWDR12")</f>
        <v>https://keepa.com/#!product/1-B0BDHWDR12</v>
      </c>
      <c r="AX2" s="2" t="str">
        <f>HYPERLINK("https://camelcamelcamel.com/search?sq=B0BDHWDR12", "https://camelcamelcamel.com/search?sq=B0BDHWDR12")</f>
        <v>https://camelcamelcamel.com/search?sq=B0BDHWDR12</v>
      </c>
      <c r="AY2" s="3"/>
      <c r="AZ2" s="10">
        <v>46291.931598895033</v>
      </c>
      <c r="BA2" s="22" t="s">
        <v>74</v>
      </c>
      <c r="BB2" s="3" t="s">
        <v>75</v>
      </c>
      <c r="BC2" s="3" t="s">
        <v>76</v>
      </c>
      <c r="BD2" s="3" t="s">
        <v>77</v>
      </c>
      <c r="BE2" s="3" t="s">
        <v>78</v>
      </c>
      <c r="BF2" s="11">
        <v>4.7</v>
      </c>
      <c r="BG2" s="4">
        <v>12480</v>
      </c>
      <c r="BH2" s="3" t="s">
        <v>79</v>
      </c>
      <c r="BI2" s="3" t="s">
        <v>80</v>
      </c>
      <c r="BJ2" s="3" t="s">
        <v>81</v>
      </c>
    </row>
    <row r="3" spans="1:62" ht="20" customHeight="1" x14ac:dyDescent="0.2">
      <c r="A3" s="12" t="s">
        <v>82</v>
      </c>
      <c r="B3" s="12"/>
      <c r="C3" s="12" t="s">
        <v>63</v>
      </c>
      <c r="D3" s="12" t="s">
        <v>83</v>
      </c>
      <c r="E3" s="13" t="s">
        <v>84</v>
      </c>
      <c r="F3" s="12" t="s">
        <v>63</v>
      </c>
      <c r="G3" s="12" t="s">
        <v>85</v>
      </c>
      <c r="H3" s="13"/>
      <c r="I3" s="13" t="s">
        <v>86</v>
      </c>
      <c r="J3" s="14">
        <v>1</v>
      </c>
      <c r="K3" s="13" t="str">
        <f>HYPERLINK("https://www.amazon.com/dp/B09N3ZNHTY", "https://www.amazon.com/dp/B09N3ZNHTY")</f>
        <v>https://www.amazon.com/dp/B09N3ZNHTY</v>
      </c>
      <c r="L3" s="14">
        <v>4200</v>
      </c>
      <c r="M3" s="15">
        <v>755958</v>
      </c>
      <c r="N3" s="15">
        <v>26.14</v>
      </c>
      <c r="O3" s="16">
        <v>0.14499999999999999</v>
      </c>
      <c r="P3" s="16">
        <v>0.217</v>
      </c>
      <c r="Q3" s="12" t="s">
        <v>66</v>
      </c>
      <c r="R3" s="13" t="s">
        <v>87</v>
      </c>
      <c r="S3" s="14">
        <v>820</v>
      </c>
      <c r="T3" s="13"/>
      <c r="U3" s="17"/>
      <c r="V3" s="15">
        <v>120.5</v>
      </c>
      <c r="W3" s="15">
        <v>149.55000000000001</v>
      </c>
      <c r="X3" s="15">
        <v>179.99</v>
      </c>
      <c r="Y3" s="15">
        <v>179.99</v>
      </c>
      <c r="Z3" s="15">
        <v>179.99</v>
      </c>
      <c r="AA3" s="15">
        <v>182.5</v>
      </c>
      <c r="AB3" s="18">
        <v>0.15</v>
      </c>
      <c r="AC3" s="15">
        <v>27</v>
      </c>
      <c r="AD3" s="15">
        <v>6.35</v>
      </c>
      <c r="AE3" s="15">
        <v>0</v>
      </c>
      <c r="AF3" s="15">
        <v>6.35</v>
      </c>
      <c r="AG3" s="15">
        <v>33.35</v>
      </c>
      <c r="AH3" s="15">
        <v>146.63999999999999</v>
      </c>
      <c r="AI3" s="18">
        <v>0</v>
      </c>
      <c r="AJ3" s="15">
        <v>0</v>
      </c>
      <c r="AK3" s="15">
        <v>0</v>
      </c>
      <c r="AL3" s="12" t="s">
        <v>88</v>
      </c>
      <c r="AM3" s="19">
        <v>1.1200000000000001</v>
      </c>
      <c r="AN3" s="14">
        <v>14</v>
      </c>
      <c r="AO3" s="14">
        <v>8</v>
      </c>
      <c r="AP3" s="14">
        <v>6</v>
      </c>
      <c r="AQ3" s="14">
        <v>3</v>
      </c>
      <c r="AR3" s="13" t="s">
        <v>84</v>
      </c>
      <c r="AS3" s="12" t="s">
        <v>89</v>
      </c>
      <c r="AT3" s="12" t="s">
        <v>90</v>
      </c>
      <c r="AU3" s="12" t="s">
        <v>90</v>
      </c>
      <c r="AV3" s="12" t="s">
        <v>66</v>
      </c>
      <c r="AW3" s="12" t="str">
        <f>HYPERLINK("https://keepa.com/#!product/1-B09N3ZNHTY", "https://keepa.com/#!product/1-B09N3ZNHTY")</f>
        <v>https://keepa.com/#!product/1-B09N3ZNHTY</v>
      </c>
      <c r="AX3" s="12" t="str">
        <f>HYPERLINK("https://camelcamelcamel.com/search?sq=B09N3ZNHTY", "https://camelcamelcamel.com/search?sq=B09N3ZNHTY")</f>
        <v>https://camelcamelcamel.com/search?sq=B09N3ZNHTY</v>
      </c>
      <c r="AY3" s="13"/>
      <c r="AZ3" s="20">
        <v>46291.931598895033</v>
      </c>
      <c r="BA3" s="13" t="s">
        <v>91</v>
      </c>
      <c r="BB3" s="13" t="s">
        <v>92</v>
      </c>
      <c r="BC3" s="13" t="s">
        <v>93</v>
      </c>
      <c r="BD3" s="13" t="s">
        <v>94</v>
      </c>
      <c r="BE3" s="13" t="s">
        <v>95</v>
      </c>
      <c r="BF3" s="21">
        <v>4.5</v>
      </c>
      <c r="BG3" s="14">
        <v>8350</v>
      </c>
      <c r="BH3" s="13" t="s">
        <v>96</v>
      </c>
      <c r="BI3" s="13" t="s">
        <v>97</v>
      </c>
      <c r="BJ3" s="13" t="s">
        <v>81</v>
      </c>
    </row>
    <row r="4" spans="1:62" ht="20" customHeight="1" x14ac:dyDescent="0.2">
      <c r="A4" s="2" t="s">
        <v>98</v>
      </c>
      <c r="B4" s="2"/>
      <c r="C4" s="2" t="s">
        <v>63</v>
      </c>
      <c r="D4" s="2" t="s">
        <v>99</v>
      </c>
      <c r="E4" s="3" t="s">
        <v>100</v>
      </c>
      <c r="F4" s="2" t="s">
        <v>63</v>
      </c>
      <c r="G4" s="2" t="s">
        <v>67</v>
      </c>
      <c r="H4" s="3" t="str">
        <f>HYPERLINK("https://sellercentral.amazon.com/hz/approvalrequest/restrictions/approve?asin=B09HM94VDS", "https://sellercentral.amazon.com/hz/approvalrequest/restrictions/approve?asin=B09HM94VDS")</f>
        <v>https://sellercentral.amazon.com/hz/approvalrequest/restrictions/approve?asin=B09HM94VDS</v>
      </c>
      <c r="I4" s="3" t="s">
        <v>101</v>
      </c>
      <c r="J4" s="4">
        <v>1</v>
      </c>
      <c r="K4" s="3" t="str">
        <f>HYPERLINK("https://www.amazon.com/dp/B09HM94VDS", "https://www.amazon.com/dp/B09HM94VDS")</f>
        <v>https://www.amazon.com/dp/B09HM94VDS</v>
      </c>
      <c r="L4" s="4">
        <v>7400</v>
      </c>
      <c r="M4" s="5">
        <v>739926</v>
      </c>
      <c r="N4" s="5">
        <v>18.88</v>
      </c>
      <c r="O4" s="6">
        <v>0.189</v>
      </c>
      <c r="P4" s="6">
        <v>0.30399999999999999</v>
      </c>
      <c r="Q4" s="2" t="s">
        <v>66</v>
      </c>
      <c r="R4" s="3" t="s">
        <v>69</v>
      </c>
      <c r="S4" s="4">
        <v>310</v>
      </c>
      <c r="T4" s="3"/>
      <c r="U4" s="7"/>
      <c r="V4" s="5">
        <v>62</v>
      </c>
      <c r="W4" s="5">
        <v>78.099999999999994</v>
      </c>
      <c r="X4" s="5">
        <v>99.99</v>
      </c>
      <c r="Y4" s="5">
        <v>99.99</v>
      </c>
      <c r="Z4" s="5">
        <v>99.99</v>
      </c>
      <c r="AA4" s="5">
        <v>104.99</v>
      </c>
      <c r="AB4" s="8">
        <v>0.15</v>
      </c>
      <c r="AC4" s="5">
        <v>15</v>
      </c>
      <c r="AD4" s="5">
        <v>4.1100000000000003</v>
      </c>
      <c r="AE4" s="5">
        <v>0</v>
      </c>
      <c r="AF4" s="5">
        <v>4.1100000000000003</v>
      </c>
      <c r="AG4" s="5">
        <v>19.11</v>
      </c>
      <c r="AH4" s="5">
        <v>80.88</v>
      </c>
      <c r="AI4" s="8">
        <v>0</v>
      </c>
      <c r="AJ4" s="5">
        <v>0</v>
      </c>
      <c r="AK4" s="5">
        <v>0</v>
      </c>
      <c r="AL4" s="2" t="s">
        <v>102</v>
      </c>
      <c r="AM4" s="9">
        <v>0.31</v>
      </c>
      <c r="AN4" s="4">
        <v>22</v>
      </c>
      <c r="AO4" s="4">
        <v>15</v>
      </c>
      <c r="AP4" s="4">
        <v>7</v>
      </c>
      <c r="AQ4" s="4">
        <v>6</v>
      </c>
      <c r="AR4" s="3" t="s">
        <v>100</v>
      </c>
      <c r="AS4" s="2" t="s">
        <v>103</v>
      </c>
      <c r="AT4" s="2" t="s">
        <v>104</v>
      </c>
      <c r="AU4" s="2" t="s">
        <v>104</v>
      </c>
      <c r="AV4" s="2" t="s">
        <v>63</v>
      </c>
      <c r="AW4" s="2" t="str">
        <f>HYPERLINK("https://keepa.com/#!product/1-B09HM94VDS", "https://keepa.com/#!product/1-B09HM94VDS")</f>
        <v>https://keepa.com/#!product/1-B09HM94VDS</v>
      </c>
      <c r="AX4" s="2" t="str">
        <f>HYPERLINK("https://camelcamelcamel.com/search?sq=B09HM94VDS", "https://camelcamelcamel.com/search?sq=B09HM94VDS")</f>
        <v>https://camelcamelcamel.com/search?sq=B09HM94VDS</v>
      </c>
      <c r="AY4" s="3"/>
      <c r="AZ4" s="10">
        <v>46291.931598895033</v>
      </c>
      <c r="BA4" s="3" t="s">
        <v>105</v>
      </c>
      <c r="BB4" s="3" t="s">
        <v>106</v>
      </c>
      <c r="BC4" s="3" t="s">
        <v>107</v>
      </c>
      <c r="BD4" s="3" t="s">
        <v>108</v>
      </c>
      <c r="BE4" s="3" t="s">
        <v>109</v>
      </c>
      <c r="BF4" s="11">
        <v>4.7</v>
      </c>
      <c r="BG4" s="4">
        <v>6120</v>
      </c>
      <c r="BH4" s="3" t="s">
        <v>110</v>
      </c>
      <c r="BI4" s="3" t="s">
        <v>111</v>
      </c>
      <c r="BJ4" s="3" t="s">
        <v>81</v>
      </c>
    </row>
    <row r="5" spans="1:62" ht="20" customHeight="1" x14ac:dyDescent="0.2">
      <c r="A5" s="12" t="s">
        <v>112</v>
      </c>
      <c r="B5" s="12"/>
      <c r="C5" s="12" t="s">
        <v>63</v>
      </c>
      <c r="D5" s="12" t="s">
        <v>113</v>
      </c>
      <c r="E5" s="13" t="s">
        <v>114</v>
      </c>
      <c r="F5" s="12" t="s">
        <v>63</v>
      </c>
      <c r="G5" s="12" t="s">
        <v>67</v>
      </c>
      <c r="H5" s="13" t="str">
        <f>HYPERLINK("https://sellercentral.amazon.com/hz/approvalrequest/restrictions/approve?asin=B09VPHVT2Z", "https://sellercentral.amazon.com/hz/approvalrequest/restrictions/approve?asin=B09VPHVT2Z")</f>
        <v>https://sellercentral.amazon.com/hz/approvalrequest/restrictions/approve?asin=B09VPHVT2Z</v>
      </c>
      <c r="I5" s="13" t="s">
        <v>115</v>
      </c>
      <c r="J5" s="14">
        <v>1</v>
      </c>
      <c r="K5" s="13" t="str">
        <f>HYPERLINK("https://www.amazon.com/dp/B09VPHVT2Z", "https://www.amazon.com/dp/B09VPHVT2Z")</f>
        <v>https://www.amazon.com/dp/B09VPHVT2Z</v>
      </c>
      <c r="L5" s="14">
        <v>2900</v>
      </c>
      <c r="M5" s="15">
        <v>434971</v>
      </c>
      <c r="N5" s="15">
        <v>36.14</v>
      </c>
      <c r="O5" s="16">
        <v>0.24099999999999999</v>
      </c>
      <c r="P5" s="16">
        <v>0.42499999999999999</v>
      </c>
      <c r="Q5" s="12" t="s">
        <v>66</v>
      </c>
      <c r="R5" s="13" t="s">
        <v>116</v>
      </c>
      <c r="S5" s="14">
        <v>1420</v>
      </c>
      <c r="T5" s="13"/>
      <c r="U5" s="17"/>
      <c r="V5" s="15">
        <v>85</v>
      </c>
      <c r="W5" s="15">
        <v>107.79</v>
      </c>
      <c r="X5" s="15">
        <v>149.99</v>
      </c>
      <c r="Y5" s="15">
        <v>149.99</v>
      </c>
      <c r="Z5" s="15">
        <v>149.99</v>
      </c>
      <c r="AA5" s="15">
        <v>152</v>
      </c>
      <c r="AB5" s="18">
        <v>0.15</v>
      </c>
      <c r="AC5" s="15">
        <v>22.5</v>
      </c>
      <c r="AD5" s="15">
        <v>6.35</v>
      </c>
      <c r="AE5" s="15">
        <v>0</v>
      </c>
      <c r="AF5" s="15">
        <v>6.35</v>
      </c>
      <c r="AG5" s="15">
        <v>28.85</v>
      </c>
      <c r="AH5" s="15">
        <v>121.14</v>
      </c>
      <c r="AI5" s="18">
        <v>0</v>
      </c>
      <c r="AJ5" s="15">
        <v>0</v>
      </c>
      <c r="AK5" s="15">
        <v>0</v>
      </c>
      <c r="AL5" s="12" t="s">
        <v>117</v>
      </c>
      <c r="AM5" s="19">
        <v>1.4</v>
      </c>
      <c r="AN5" s="14">
        <v>9</v>
      </c>
      <c r="AO5" s="14">
        <v>5</v>
      </c>
      <c r="AP5" s="14">
        <v>4</v>
      </c>
      <c r="AQ5" s="14">
        <v>2</v>
      </c>
      <c r="AR5" s="13" t="s">
        <v>114</v>
      </c>
      <c r="AS5" s="12" t="s">
        <v>118</v>
      </c>
      <c r="AT5" s="12" t="s">
        <v>119</v>
      </c>
      <c r="AU5" s="12" t="s">
        <v>120</v>
      </c>
      <c r="AV5" s="12" t="s">
        <v>66</v>
      </c>
      <c r="AW5" s="12" t="str">
        <f>HYPERLINK("https://keepa.com/#!product/1-B09VPHVT2Z", "https://keepa.com/#!product/1-B09VPHVT2Z")</f>
        <v>https://keepa.com/#!product/1-B09VPHVT2Z</v>
      </c>
      <c r="AX5" s="12" t="str">
        <f>HYPERLINK("https://camelcamelcamel.com/search?sq=B09VPHVT2Z", "https://camelcamelcamel.com/search?sq=B09VPHVT2Z")</f>
        <v>https://camelcamelcamel.com/search?sq=B09VPHVT2Z</v>
      </c>
      <c r="AY5" s="13"/>
      <c r="AZ5" s="20">
        <v>46291.931598895033</v>
      </c>
      <c r="BA5" s="13" t="s">
        <v>121</v>
      </c>
      <c r="BB5" s="13" t="s">
        <v>122</v>
      </c>
      <c r="BC5" s="13" t="s">
        <v>123</v>
      </c>
      <c r="BD5" s="13" t="s">
        <v>124</v>
      </c>
      <c r="BE5" s="13" t="s">
        <v>125</v>
      </c>
      <c r="BF5" s="21">
        <v>4.5999999999999996</v>
      </c>
      <c r="BG5" s="14">
        <v>3410</v>
      </c>
      <c r="BH5" s="13" t="s">
        <v>126</v>
      </c>
      <c r="BI5" s="13" t="s">
        <v>127</v>
      </c>
      <c r="BJ5" s="13" t="s">
        <v>81</v>
      </c>
    </row>
    <row r="6" spans="1:62" ht="20" customHeight="1" x14ac:dyDescent="0.2">
      <c r="A6" s="2" t="s">
        <v>128</v>
      </c>
      <c r="B6" s="2" t="s">
        <v>129</v>
      </c>
      <c r="C6" s="2" t="s">
        <v>63</v>
      </c>
      <c r="D6" s="2" t="s">
        <v>130</v>
      </c>
      <c r="E6" s="3" t="s">
        <v>131</v>
      </c>
      <c r="F6" s="2" t="s">
        <v>63</v>
      </c>
      <c r="G6" s="2" t="s">
        <v>85</v>
      </c>
      <c r="H6" s="3"/>
      <c r="I6" s="3" t="s">
        <v>132</v>
      </c>
      <c r="J6" s="4">
        <v>1</v>
      </c>
      <c r="K6" s="3" t="str">
        <f>HYPERLINK("https://www.amazon.com/dp/B00BH4KLJI", "https://www.amazon.com/dp/B00BH4KLJI")</f>
        <v>https://www.amazon.com/dp/B00BH4KLJI</v>
      </c>
      <c r="L6" s="4">
        <v>5</v>
      </c>
      <c r="M6" s="5">
        <v>2276.9499999999998</v>
      </c>
      <c r="N6" s="5">
        <v>121.56</v>
      </c>
      <c r="O6" s="6">
        <v>0.26700000000000002</v>
      </c>
      <c r="P6" s="6">
        <v>0.46800000000000003</v>
      </c>
      <c r="Q6" s="2" t="s">
        <v>66</v>
      </c>
      <c r="R6" s="3" t="s">
        <v>133</v>
      </c>
      <c r="S6" s="4">
        <v>359742</v>
      </c>
      <c r="T6" s="3"/>
      <c r="U6" s="7"/>
      <c r="V6" s="5">
        <v>260</v>
      </c>
      <c r="W6" s="5">
        <v>312.7</v>
      </c>
      <c r="X6" s="5">
        <v>455.39</v>
      </c>
      <c r="Y6" s="7"/>
      <c r="Z6" s="7"/>
      <c r="AA6" s="5">
        <v>455.39</v>
      </c>
      <c r="AB6" s="8">
        <v>0.15</v>
      </c>
      <c r="AC6" s="5">
        <v>68.31</v>
      </c>
      <c r="AD6" s="5">
        <v>5.52</v>
      </c>
      <c r="AE6" s="5">
        <v>0</v>
      </c>
      <c r="AF6" s="5">
        <v>5.52</v>
      </c>
      <c r="AG6" s="5">
        <v>73.83</v>
      </c>
      <c r="AH6" s="5">
        <v>381.56</v>
      </c>
      <c r="AI6" s="8">
        <v>0</v>
      </c>
      <c r="AJ6" s="5">
        <v>0</v>
      </c>
      <c r="AK6" s="5">
        <v>0</v>
      </c>
      <c r="AL6" s="2" t="s">
        <v>134</v>
      </c>
      <c r="AM6" s="9">
        <v>1.1499999999999999</v>
      </c>
      <c r="AN6" s="4">
        <v>1</v>
      </c>
      <c r="AO6" s="4">
        <v>0</v>
      </c>
      <c r="AP6" s="4">
        <v>1</v>
      </c>
      <c r="AQ6" s="4">
        <v>0</v>
      </c>
      <c r="AR6" s="3" t="s">
        <v>131</v>
      </c>
      <c r="AS6" s="2" t="s">
        <v>135</v>
      </c>
      <c r="AT6" s="2" t="s">
        <v>130</v>
      </c>
      <c r="AU6" s="2" t="s">
        <v>136</v>
      </c>
      <c r="AV6" s="2" t="s">
        <v>63</v>
      </c>
      <c r="AW6" s="2" t="str">
        <f>HYPERLINK("https://keepa.com/#!product/1-B00BH4KLJI", "https://keepa.com/#!product/1-B00BH4KLJI")</f>
        <v>https://keepa.com/#!product/1-B00BH4KLJI</v>
      </c>
      <c r="AX6" s="2" t="str">
        <f>HYPERLINK("https://camelcamelcamel.com/search?sq=B00BH4KLJI", "https://camelcamelcamel.com/search?sq=B00BH4KLJI")</f>
        <v>https://camelcamelcamel.com/search?sq=B00BH4KLJI</v>
      </c>
      <c r="AY6" s="3"/>
      <c r="AZ6" s="10">
        <v>46291.931598895033</v>
      </c>
      <c r="BA6" s="3" t="s">
        <v>137</v>
      </c>
      <c r="BB6" s="3" t="s">
        <v>138</v>
      </c>
      <c r="BC6" s="3" t="s">
        <v>139</v>
      </c>
      <c r="BD6" s="3" t="s">
        <v>140</v>
      </c>
      <c r="BE6" s="3" t="s">
        <v>141</v>
      </c>
      <c r="BF6" s="11">
        <v>4.5999999999999996</v>
      </c>
      <c r="BG6" s="4">
        <v>890</v>
      </c>
      <c r="BH6" s="3" t="s">
        <v>142</v>
      </c>
      <c r="BI6" s="3" t="s">
        <v>143</v>
      </c>
      <c r="BJ6" s="3" t="s">
        <v>81</v>
      </c>
    </row>
    <row r="7" spans="1:62" ht="20" customHeight="1" x14ac:dyDescent="0.2">
      <c r="A7" s="12" t="s">
        <v>144</v>
      </c>
      <c r="B7" s="12" t="s">
        <v>145</v>
      </c>
      <c r="C7" s="12" t="s">
        <v>63</v>
      </c>
      <c r="D7" s="12" t="s">
        <v>146</v>
      </c>
      <c r="E7" s="13" t="s">
        <v>147</v>
      </c>
      <c r="F7" s="12" t="s">
        <v>63</v>
      </c>
      <c r="G7" s="12" t="s">
        <v>67</v>
      </c>
      <c r="H7" s="13" t="str">
        <f>HYPERLINK("https://sellercentral.amazon.com/hz/approvalrequest/restrictions/approve?asin=B07SL2NXGT", "https://sellercentral.amazon.com/hz/approvalrequest/restrictions/approve?asin=B07SL2NXGT")</f>
        <v>https://sellercentral.amazon.com/hz/approvalrequest/restrictions/approve?asin=B07SL2NXGT</v>
      </c>
      <c r="I7" s="13" t="s">
        <v>148</v>
      </c>
      <c r="J7" s="14">
        <v>1</v>
      </c>
      <c r="K7" s="13" t="str">
        <f>HYPERLINK("https://www.amazon.com/dp/B07SL2NXGT", "https://www.amazon.com/dp/B07SL2NXGT")</f>
        <v>https://www.amazon.com/dp/B07SL2NXGT</v>
      </c>
      <c r="L7" s="14">
        <v>1138</v>
      </c>
      <c r="M7" s="15">
        <v>20461.240000000002</v>
      </c>
      <c r="N7" s="15">
        <v>1.06</v>
      </c>
      <c r="O7" s="16">
        <v>5.8999999999999997E-2</v>
      </c>
      <c r="P7" s="16">
        <v>9.6000000000000002E-2</v>
      </c>
      <c r="Q7" s="12" t="s">
        <v>66</v>
      </c>
      <c r="R7" s="13" t="s">
        <v>133</v>
      </c>
      <c r="S7" s="14">
        <v>15774</v>
      </c>
      <c r="T7" s="13"/>
      <c r="U7" s="17"/>
      <c r="V7" s="15">
        <v>11</v>
      </c>
      <c r="W7" s="15">
        <v>17.05</v>
      </c>
      <c r="X7" s="15">
        <v>17.98</v>
      </c>
      <c r="Y7" s="15">
        <v>17.98</v>
      </c>
      <c r="Z7" s="15">
        <v>17.98</v>
      </c>
      <c r="AA7" s="17"/>
      <c r="AB7" s="18">
        <v>0.15</v>
      </c>
      <c r="AC7" s="15">
        <v>2.7</v>
      </c>
      <c r="AD7" s="15">
        <v>3.22</v>
      </c>
      <c r="AE7" s="15">
        <v>0</v>
      </c>
      <c r="AF7" s="15">
        <v>3.22</v>
      </c>
      <c r="AG7" s="15">
        <v>5.92</v>
      </c>
      <c r="AH7" s="15">
        <v>12.06</v>
      </c>
      <c r="AI7" s="18">
        <v>0</v>
      </c>
      <c r="AJ7" s="15">
        <v>0</v>
      </c>
      <c r="AK7" s="15">
        <v>0</v>
      </c>
      <c r="AL7" s="12" t="s">
        <v>149</v>
      </c>
      <c r="AM7" s="19">
        <v>0.11</v>
      </c>
      <c r="AN7" s="14">
        <v>6</v>
      </c>
      <c r="AO7" s="14">
        <v>6</v>
      </c>
      <c r="AP7" s="14">
        <v>0</v>
      </c>
      <c r="AQ7" s="14">
        <v>3</v>
      </c>
      <c r="AR7" s="13" t="s">
        <v>147</v>
      </c>
      <c r="AS7" s="12" t="s">
        <v>150</v>
      </c>
      <c r="AT7" s="12" t="s">
        <v>151</v>
      </c>
      <c r="AU7" s="12" t="s">
        <v>151</v>
      </c>
      <c r="AV7" s="12" t="s">
        <v>63</v>
      </c>
      <c r="AW7" s="12" t="str">
        <f>HYPERLINK("https://keepa.com/#!product/1-B07SL2NXGT", "https://keepa.com/#!product/1-B07SL2NXGT")</f>
        <v>https://keepa.com/#!product/1-B07SL2NXGT</v>
      </c>
      <c r="AX7" s="12" t="str">
        <f>HYPERLINK("https://camelcamelcamel.com/search?sq=B07SL2NXGT", "https://camelcamelcamel.com/search?sq=B07SL2NXGT")</f>
        <v>https://camelcamelcamel.com/search?sq=B07SL2NXGT</v>
      </c>
      <c r="AY7" s="13"/>
      <c r="AZ7" s="20">
        <v>46291.931598895033</v>
      </c>
      <c r="BA7" s="13" t="s">
        <v>152</v>
      </c>
      <c r="BB7" s="13" t="s">
        <v>153</v>
      </c>
      <c r="BC7" s="13" t="s">
        <v>154</v>
      </c>
      <c r="BD7" s="13" t="s">
        <v>155</v>
      </c>
      <c r="BE7" s="13" t="s">
        <v>156</v>
      </c>
      <c r="BF7" s="21">
        <v>4.5</v>
      </c>
      <c r="BG7" s="14">
        <v>1150</v>
      </c>
      <c r="BH7" s="13" t="s">
        <v>157</v>
      </c>
      <c r="BI7" s="13" t="s">
        <v>158</v>
      </c>
      <c r="BJ7" s="13" t="s">
        <v>81</v>
      </c>
    </row>
    <row r="8" spans="1:62" ht="20" customHeight="1" x14ac:dyDescent="0.2">
      <c r="A8" s="2" t="s">
        <v>159</v>
      </c>
      <c r="B8" s="2"/>
      <c r="C8" s="2" t="s">
        <v>63</v>
      </c>
      <c r="D8" s="2" t="s">
        <v>160</v>
      </c>
      <c r="E8" s="3" t="s">
        <v>161</v>
      </c>
      <c r="F8" s="2" t="s">
        <v>63</v>
      </c>
      <c r="G8" s="2" t="s">
        <v>67</v>
      </c>
      <c r="H8" s="3" t="str">
        <f>HYPERLINK("https://sellercentral.amazon.com/hz/approvalrequest/restrictions/approve?asin=B009QZ5YME", "https://sellercentral.amazon.com/hz/approvalrequest/restrictions/approve?asin=B009QZ5YME")</f>
        <v>https://sellercentral.amazon.com/hz/approvalrequest/restrictions/approve?asin=B009QZ5YME</v>
      </c>
      <c r="I8" s="3" t="s">
        <v>162</v>
      </c>
      <c r="J8" s="4">
        <v>1</v>
      </c>
      <c r="K8" s="3" t="str">
        <f>HYPERLINK("https://www.amazon.com/dp/B009QZ5YME", "https://www.amazon.com/dp/B009QZ5YME")</f>
        <v>https://www.amazon.com/dp/B009QZ5YME</v>
      </c>
      <c r="L8" s="4">
        <v>5</v>
      </c>
      <c r="M8" s="5">
        <v>0</v>
      </c>
      <c r="N8" s="7"/>
      <c r="O8" s="7"/>
      <c r="P8" s="7"/>
      <c r="Q8" s="2" t="s">
        <v>66</v>
      </c>
      <c r="R8" s="3" t="s">
        <v>133</v>
      </c>
      <c r="S8" s="4">
        <v>564351</v>
      </c>
      <c r="T8" s="3"/>
      <c r="U8" s="7"/>
      <c r="V8" s="5">
        <v>236</v>
      </c>
      <c r="W8" s="7"/>
      <c r="X8" s="7"/>
      <c r="Y8" s="7"/>
      <c r="Z8" s="7"/>
      <c r="AA8" s="7"/>
      <c r="AB8" s="8">
        <v>0</v>
      </c>
      <c r="AC8" s="7"/>
      <c r="AD8" s="7"/>
      <c r="AE8" s="5">
        <v>0</v>
      </c>
      <c r="AF8" s="7"/>
      <c r="AG8" s="7"/>
      <c r="AH8" s="7"/>
      <c r="AI8" s="8">
        <v>0</v>
      </c>
      <c r="AJ8" s="5">
        <v>0</v>
      </c>
      <c r="AK8" s="5">
        <v>0</v>
      </c>
      <c r="AL8" s="2" t="s">
        <v>163</v>
      </c>
      <c r="AM8" s="9">
        <v>0.88</v>
      </c>
      <c r="AN8" s="4">
        <v>0</v>
      </c>
      <c r="AO8" s="4">
        <v>0</v>
      </c>
      <c r="AP8" s="4">
        <v>0</v>
      </c>
      <c r="AQ8" s="4">
        <v>0</v>
      </c>
      <c r="AR8" s="3" t="s">
        <v>161</v>
      </c>
      <c r="AS8" s="2" t="s">
        <v>164</v>
      </c>
      <c r="AT8" s="2" t="s">
        <v>160</v>
      </c>
      <c r="AU8" s="2" t="s">
        <v>165</v>
      </c>
      <c r="AV8" s="2" t="s">
        <v>63</v>
      </c>
      <c r="AW8" s="2" t="str">
        <f>HYPERLINK("https://keepa.com/#!product/1-B009QZ5YME", "https://keepa.com/#!product/1-B009QZ5YME")</f>
        <v>https://keepa.com/#!product/1-B009QZ5YME</v>
      </c>
      <c r="AX8" s="2" t="str">
        <f>HYPERLINK("https://camelcamelcamel.com/search?sq=B009QZ5YME", "https://camelcamelcamel.com/search?sq=B009QZ5YME")</f>
        <v>https://camelcamelcamel.com/search?sq=B009QZ5YME</v>
      </c>
      <c r="AY8" s="3"/>
      <c r="AZ8" s="10">
        <v>46291.931598895033</v>
      </c>
      <c r="BA8" s="3" t="s">
        <v>166</v>
      </c>
      <c r="BB8" s="3" t="s">
        <v>167</v>
      </c>
      <c r="BC8" s="3" t="s">
        <v>168</v>
      </c>
      <c r="BD8" s="3" t="s">
        <v>169</v>
      </c>
      <c r="BE8" s="3" t="s">
        <v>170</v>
      </c>
      <c r="BF8" s="11">
        <v>4.5</v>
      </c>
      <c r="BG8" s="4">
        <v>68</v>
      </c>
      <c r="BH8" s="3" t="s">
        <v>171</v>
      </c>
      <c r="BI8" s="3" t="s">
        <v>172</v>
      </c>
      <c r="BJ8" s="3" t="s">
        <v>81</v>
      </c>
    </row>
    <row r="9" spans="1:62" ht="20" customHeight="1" x14ac:dyDescent="0.2">
      <c r="A9" s="12" t="s">
        <v>173</v>
      </c>
      <c r="B9" s="12"/>
      <c r="C9" s="12" t="s">
        <v>63</v>
      </c>
      <c r="D9" s="12" t="s">
        <v>174</v>
      </c>
      <c r="E9" s="13" t="s">
        <v>175</v>
      </c>
      <c r="F9" s="12" t="s">
        <v>66</v>
      </c>
      <c r="G9" s="12" t="s">
        <v>67</v>
      </c>
      <c r="H9" s="13" t="str">
        <f>HYPERLINK("https://sellercentral.amazon.com/hz/approvalrequest/restrictions/approve?asin=B098RKWHHZ", "https://sellercentral.amazon.com/hz/approvalrequest/restrictions/approve?asin=B098RKWHHZ")</f>
        <v>https://sellercentral.amazon.com/hz/approvalrequest/restrictions/approve?asin=B098RKWHHZ</v>
      </c>
      <c r="I9" s="13" t="s">
        <v>176</v>
      </c>
      <c r="J9" s="14">
        <v>1</v>
      </c>
      <c r="K9" s="13" t="str">
        <f>HYPERLINK("https://www.amazon.com/dp/B098RKWHHZ", "https://www.amazon.com/dp/B098RKWHHZ")</f>
        <v>https://www.amazon.com/dp/B098RKWHHZ</v>
      </c>
      <c r="L9" s="14">
        <v>15400</v>
      </c>
      <c r="M9" s="15">
        <v>5389846</v>
      </c>
      <c r="N9" s="15">
        <v>60.27</v>
      </c>
      <c r="O9" s="16">
        <v>0.17199999999999999</v>
      </c>
      <c r="P9" s="16">
        <v>0.26200000000000001</v>
      </c>
      <c r="Q9" s="12" t="s">
        <v>66</v>
      </c>
      <c r="R9" s="13" t="s">
        <v>177</v>
      </c>
      <c r="S9" s="14">
        <v>85</v>
      </c>
      <c r="T9" s="13"/>
      <c r="U9" s="17"/>
      <c r="V9" s="15">
        <v>230</v>
      </c>
      <c r="W9" s="15">
        <v>279.39999999999998</v>
      </c>
      <c r="X9" s="15">
        <v>349.99</v>
      </c>
      <c r="Y9" s="15">
        <v>349.99</v>
      </c>
      <c r="Z9" s="15">
        <v>349.99</v>
      </c>
      <c r="AA9" s="15">
        <v>354</v>
      </c>
      <c r="AB9" s="18">
        <v>0.15</v>
      </c>
      <c r="AC9" s="15">
        <v>52.5</v>
      </c>
      <c r="AD9" s="15">
        <v>7.22</v>
      </c>
      <c r="AE9" s="15">
        <v>0</v>
      </c>
      <c r="AF9" s="15">
        <v>7.22</v>
      </c>
      <c r="AG9" s="15">
        <v>59.72</v>
      </c>
      <c r="AH9" s="15">
        <v>290.27</v>
      </c>
      <c r="AI9" s="18">
        <v>0</v>
      </c>
      <c r="AJ9" s="15">
        <v>0</v>
      </c>
      <c r="AK9" s="15">
        <v>0</v>
      </c>
      <c r="AL9" s="12" t="s">
        <v>178</v>
      </c>
      <c r="AM9" s="19">
        <v>3.25</v>
      </c>
      <c r="AN9" s="14">
        <v>25</v>
      </c>
      <c r="AO9" s="14">
        <v>18</v>
      </c>
      <c r="AP9" s="14">
        <v>7</v>
      </c>
      <c r="AQ9" s="14">
        <v>5</v>
      </c>
      <c r="AR9" s="13" t="s">
        <v>175</v>
      </c>
      <c r="AS9" s="12" t="s">
        <v>71</v>
      </c>
      <c r="AT9" s="12" t="s">
        <v>179</v>
      </c>
      <c r="AU9" s="12" t="s">
        <v>179</v>
      </c>
      <c r="AV9" s="12" t="s">
        <v>66</v>
      </c>
      <c r="AW9" s="12" t="str">
        <f>HYPERLINK("https://keepa.com/#!product/1-B098RKWHHZ", "https://keepa.com/#!product/1-B098RKWHHZ")</f>
        <v>https://keepa.com/#!product/1-B098RKWHHZ</v>
      </c>
      <c r="AX9" s="12" t="str">
        <f>HYPERLINK("https://camelcamelcamel.com/search?sq=B098RKWHHZ", "https://camelcamelcamel.com/search?sq=B098RKWHHZ")</f>
        <v>https://camelcamelcamel.com/search?sq=B098RKWHHZ</v>
      </c>
      <c r="AY9" s="13"/>
      <c r="AZ9" s="20">
        <v>46291.931598895033</v>
      </c>
      <c r="BA9" s="13" t="s">
        <v>180</v>
      </c>
      <c r="BB9" s="13" t="s">
        <v>181</v>
      </c>
      <c r="BC9" s="13" t="s">
        <v>182</v>
      </c>
      <c r="BD9" s="13" t="s">
        <v>183</v>
      </c>
      <c r="BE9" s="13" t="s">
        <v>95</v>
      </c>
      <c r="BF9" s="21">
        <v>4.8</v>
      </c>
      <c r="BG9" s="14">
        <v>24190</v>
      </c>
      <c r="BH9" s="13" t="s">
        <v>184</v>
      </c>
      <c r="BI9" s="13" t="s">
        <v>185</v>
      </c>
      <c r="BJ9" s="13" t="s">
        <v>81</v>
      </c>
    </row>
    <row r="10" spans="1:62" ht="20" customHeight="1" x14ac:dyDescent="0.2">
      <c r="A10" s="2" t="s">
        <v>186</v>
      </c>
      <c r="B10" s="2"/>
      <c r="C10" s="2" t="s">
        <v>63</v>
      </c>
      <c r="D10" s="2" t="s">
        <v>187</v>
      </c>
      <c r="E10" s="3" t="s">
        <v>188</v>
      </c>
      <c r="F10" s="2" t="s">
        <v>66</v>
      </c>
      <c r="G10" s="2" t="s">
        <v>67</v>
      </c>
      <c r="H10" s="3" t="str">
        <f>HYPERLINK("https://sellercentral.amazon.com/hz/approvalrequest/restrictions/approve?asin=B0863TXGM3", "https://sellercentral.amazon.com/hz/approvalrequest/restrictions/approve?asin=B0863TXGM3")</f>
        <v>https://sellercentral.amazon.com/hz/approvalrequest/restrictions/approve?asin=B0863TXGM3</v>
      </c>
      <c r="I10" s="3" t="s">
        <v>189</v>
      </c>
      <c r="J10" s="4">
        <v>1</v>
      </c>
      <c r="K10" s="3" t="str">
        <f>HYPERLINK("https://www.amazon.com/dp/B0863TXGM3", "https://www.amazon.com/dp/B0863TXGM3")</f>
        <v>https://www.amazon.com/dp/B0863TXGM3</v>
      </c>
      <c r="L10" s="4">
        <v>12800</v>
      </c>
      <c r="M10" s="5">
        <v>4454400</v>
      </c>
      <c r="N10" s="5">
        <v>103.48</v>
      </c>
      <c r="O10" s="6">
        <v>0.29699999999999999</v>
      </c>
      <c r="P10" s="6">
        <v>0.49299999999999999</v>
      </c>
      <c r="Q10" s="2" t="s">
        <v>66</v>
      </c>
      <c r="R10" s="3" t="s">
        <v>69</v>
      </c>
      <c r="S10" s="4">
        <v>110</v>
      </c>
      <c r="T10" s="3"/>
      <c r="U10" s="7"/>
      <c r="V10" s="5">
        <v>210</v>
      </c>
      <c r="W10" s="5">
        <v>235.82</v>
      </c>
      <c r="X10" s="5">
        <v>348</v>
      </c>
      <c r="Y10" s="5">
        <v>348</v>
      </c>
      <c r="Z10" s="5">
        <v>348</v>
      </c>
      <c r="AA10" s="5">
        <v>349.95</v>
      </c>
      <c r="AB10" s="8">
        <v>0.08</v>
      </c>
      <c r="AC10" s="5">
        <v>27.84</v>
      </c>
      <c r="AD10" s="5">
        <v>6.68</v>
      </c>
      <c r="AE10" s="5">
        <v>0</v>
      </c>
      <c r="AF10" s="5">
        <v>6.68</v>
      </c>
      <c r="AG10" s="5">
        <v>34.520000000000003</v>
      </c>
      <c r="AH10" s="5">
        <v>313.48</v>
      </c>
      <c r="AI10" s="8">
        <v>0</v>
      </c>
      <c r="AJ10" s="5">
        <v>0</v>
      </c>
      <c r="AK10" s="5">
        <v>0</v>
      </c>
      <c r="AL10" s="2" t="s">
        <v>190</v>
      </c>
      <c r="AM10" s="9">
        <v>1.6</v>
      </c>
      <c r="AN10" s="4">
        <v>31</v>
      </c>
      <c r="AO10" s="4">
        <v>20</v>
      </c>
      <c r="AP10" s="4">
        <v>11</v>
      </c>
      <c r="AQ10" s="4">
        <v>4</v>
      </c>
      <c r="AR10" s="3" t="s">
        <v>188</v>
      </c>
      <c r="AS10" s="2" t="s">
        <v>118</v>
      </c>
      <c r="AT10" s="2" t="s">
        <v>191</v>
      </c>
      <c r="AU10" s="2" t="s">
        <v>191</v>
      </c>
      <c r="AV10" s="2" t="s">
        <v>66</v>
      </c>
      <c r="AW10" s="2" t="str">
        <f>HYPERLINK("https://keepa.com/#!product/1-B0863TXGM3", "https://keepa.com/#!product/1-B0863TXGM3")</f>
        <v>https://keepa.com/#!product/1-B0863TXGM3</v>
      </c>
      <c r="AX10" s="2" t="str">
        <f>HYPERLINK("https://camelcamelcamel.com/search?sq=B0863TXGM3", "https://camelcamelcamel.com/search?sq=B0863TXGM3")</f>
        <v>https://camelcamelcamel.com/search?sq=B0863TXGM3</v>
      </c>
      <c r="AY10" s="3"/>
      <c r="AZ10" s="10">
        <v>46291.931598895033</v>
      </c>
      <c r="BA10" s="3" t="s">
        <v>192</v>
      </c>
      <c r="BB10" s="3" t="s">
        <v>193</v>
      </c>
      <c r="BC10" s="3" t="s">
        <v>94</v>
      </c>
      <c r="BD10" s="3" t="s">
        <v>93</v>
      </c>
      <c r="BE10" s="3" t="s">
        <v>95</v>
      </c>
      <c r="BF10" s="11">
        <v>4.7</v>
      </c>
      <c r="BG10" s="4">
        <v>48200</v>
      </c>
      <c r="BH10" s="3" t="s">
        <v>194</v>
      </c>
      <c r="BI10" s="3" t="s">
        <v>195</v>
      </c>
      <c r="BJ10" s="3" t="s">
        <v>81</v>
      </c>
    </row>
    <row r="11" spans="1:62" ht="20" customHeight="1" x14ac:dyDescent="0.2">
      <c r="A11" s="12" t="s">
        <v>196</v>
      </c>
      <c r="B11" s="12"/>
      <c r="C11" s="12" t="s">
        <v>63</v>
      </c>
      <c r="D11" s="12" t="s">
        <v>197</v>
      </c>
      <c r="E11" s="13" t="s">
        <v>198</v>
      </c>
      <c r="F11" s="12" t="s">
        <v>63</v>
      </c>
      <c r="G11" s="12" t="s">
        <v>67</v>
      </c>
      <c r="H11" s="13" t="str">
        <f>HYPERLINK("https://sellercentral.amazon.com/hz/approvalrequest/restrictions/approve?asin=B07XJ8C8F5", "https://sellercentral.amazon.com/hz/approvalrequest/restrictions/approve?asin=B07XJ8C8F5")</f>
        <v>https://sellercentral.amazon.com/hz/approvalrequest/restrictions/approve?asin=B07XJ8C8F5</v>
      </c>
      <c r="I11" s="13" t="s">
        <v>199</v>
      </c>
      <c r="J11" s="14">
        <v>1</v>
      </c>
      <c r="K11" s="13" t="str">
        <f>HYPERLINK("https://www.amazon.com/dp/B07XJ8C8F5", "https://www.amazon.com/dp/B07XJ8C8F5")</f>
        <v>https://www.amazon.com/dp/B07XJ8C8F5</v>
      </c>
      <c r="L11" s="14">
        <v>22000</v>
      </c>
      <c r="M11" s="15">
        <v>1099780</v>
      </c>
      <c r="N11" s="15">
        <v>13.13</v>
      </c>
      <c r="O11" s="16">
        <v>0.26300000000000001</v>
      </c>
      <c r="P11" s="16">
        <v>0.52500000000000002</v>
      </c>
      <c r="Q11" s="12" t="s">
        <v>66</v>
      </c>
      <c r="R11" s="13" t="s">
        <v>69</v>
      </c>
      <c r="S11" s="14">
        <v>65</v>
      </c>
      <c r="T11" s="13"/>
      <c r="U11" s="17"/>
      <c r="V11" s="15">
        <v>25</v>
      </c>
      <c r="W11" s="15">
        <v>34.86</v>
      </c>
      <c r="X11" s="15">
        <v>49.99</v>
      </c>
      <c r="Y11" s="15">
        <v>49.99</v>
      </c>
      <c r="Z11" s="15">
        <v>49.99</v>
      </c>
      <c r="AA11" s="15">
        <v>52</v>
      </c>
      <c r="AB11" s="18">
        <v>0.15</v>
      </c>
      <c r="AC11" s="15">
        <v>7.5</v>
      </c>
      <c r="AD11" s="15">
        <v>4.3600000000000003</v>
      </c>
      <c r="AE11" s="15">
        <v>0</v>
      </c>
      <c r="AF11" s="15">
        <v>4.3600000000000003</v>
      </c>
      <c r="AG11" s="15">
        <v>11.86</v>
      </c>
      <c r="AH11" s="15">
        <v>38.130000000000003</v>
      </c>
      <c r="AI11" s="18">
        <v>0</v>
      </c>
      <c r="AJ11" s="15">
        <v>0</v>
      </c>
      <c r="AK11" s="15">
        <v>0</v>
      </c>
      <c r="AL11" s="12" t="s">
        <v>200</v>
      </c>
      <c r="AM11" s="19">
        <v>0.75</v>
      </c>
      <c r="AN11" s="14">
        <v>16</v>
      </c>
      <c r="AO11" s="14">
        <v>12</v>
      </c>
      <c r="AP11" s="14">
        <v>4</v>
      </c>
      <c r="AQ11" s="14">
        <v>2</v>
      </c>
      <c r="AR11" s="13" t="s">
        <v>198</v>
      </c>
      <c r="AS11" s="12" t="s">
        <v>201</v>
      </c>
      <c r="AT11" s="12" t="s">
        <v>202</v>
      </c>
      <c r="AU11" s="12" t="s">
        <v>202</v>
      </c>
      <c r="AV11" s="12" t="s">
        <v>63</v>
      </c>
      <c r="AW11" s="12" t="str">
        <f>HYPERLINK("https://keepa.com/#!product/1-B07XJ8C8F5", "https://keepa.com/#!product/1-B07XJ8C8F5")</f>
        <v>https://keepa.com/#!product/1-B07XJ8C8F5</v>
      </c>
      <c r="AX11" s="12" t="str">
        <f>HYPERLINK("https://camelcamelcamel.com/search?sq=B07XJ8C8F5", "https://camelcamelcamel.com/search?sq=B07XJ8C8F5")</f>
        <v>https://camelcamelcamel.com/search?sq=B07XJ8C8F5</v>
      </c>
      <c r="AY11" s="13"/>
      <c r="AZ11" s="20">
        <v>46291.931598895033</v>
      </c>
      <c r="BA11" s="13" t="s">
        <v>203</v>
      </c>
      <c r="BB11" s="13" t="s">
        <v>169</v>
      </c>
      <c r="BC11" s="13" t="s">
        <v>75</v>
      </c>
      <c r="BD11" s="13" t="s">
        <v>77</v>
      </c>
      <c r="BE11" s="13" t="s">
        <v>74</v>
      </c>
      <c r="BF11" s="21">
        <v>4.7</v>
      </c>
      <c r="BG11" s="14">
        <v>95400</v>
      </c>
      <c r="BH11" s="13" t="s">
        <v>204</v>
      </c>
      <c r="BI11" s="13" t="s">
        <v>205</v>
      </c>
      <c r="BJ11" s="13" t="s">
        <v>81</v>
      </c>
    </row>
  </sheetData>
  <autoFilter ref="A1:BJ11" xr:uid="{00000000-0009-0000-0000-000000000000}"/>
  <hyperlinks>
    <hyperlink ref="BA2" r:id="rId1" xr:uid="{CB53C769-A0F6-B248-BFD6-B08B9A3B51D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Imtiaz Hossain</cp:lastModifiedBy>
  <dcterms:created xsi:type="dcterms:W3CDTF">2026-09-26T22:21:30Z</dcterms:created>
  <dcterms:modified xsi:type="dcterms:W3CDTF">2026-10-05T14:54:13Z</dcterms:modified>
</cp:coreProperties>
</file>